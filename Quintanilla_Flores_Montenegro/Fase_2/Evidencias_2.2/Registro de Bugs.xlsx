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s" sheetId="1" r:id="rId4"/>
    <sheet state="visible" name="Dropdowns" sheetId="2" r:id="rId5"/>
    <sheet state="visible" name="SLA_Lookup" sheetId="3" r:id="rId6"/>
  </sheets>
  <definedNames/>
  <calcPr/>
  <extLst>
    <ext uri="GoogleSheetsCustomDataVersion2">
      <go:sheetsCustomData xmlns:go="http://customooxmlschemas.google.com/" r:id="rId7" roundtripDataChecksum="rhHA5daCEVu55GlHIP7ZM2YFfvuRwEYIRuOA5n4yJ0k="/>
    </ext>
  </extLst>
</workbook>
</file>

<file path=xl/sharedStrings.xml><?xml version="1.0" encoding="utf-8"?>
<sst xmlns="http://schemas.openxmlformats.org/spreadsheetml/2006/main" count="141" uniqueCount="98">
  <si>
    <t>Bug ID</t>
  </si>
  <si>
    <t>Created On</t>
  </si>
  <si>
    <t>Reporter</t>
  </si>
  <si>
    <t>Summary</t>
  </si>
  <si>
    <t>Description (Pasos / Esperado / Obtenido)</t>
  </si>
  <si>
    <t>Severity</t>
  </si>
  <si>
    <t>Priority</t>
  </si>
  <si>
    <t>Status</t>
  </si>
  <si>
    <t>Assignee</t>
  </si>
  <si>
    <t>Environment</t>
  </si>
  <si>
    <t>Component</t>
  </si>
  <si>
    <t>Affects Version</t>
  </si>
  <si>
    <t>Fix Version</t>
  </si>
  <si>
    <t>Reproducibility</t>
  </si>
  <si>
    <t>Root Cause</t>
  </si>
  <si>
    <t>Evidence (link o ruta)</t>
  </si>
  <si>
    <t>Related (HU/Test)</t>
  </si>
  <si>
    <t>SLA Due</t>
  </si>
  <si>
    <t>Resolved On</t>
  </si>
  <si>
    <t>Days Open</t>
  </si>
  <si>
    <t>Overdue?</t>
  </si>
  <si>
    <t>Miguel</t>
  </si>
  <si>
    <t>POS no descuenta stock al vender</t>
  </si>
  <si>
    <t>1) Stock inicial 10; 2) Vendo 1; Esperado: 9; Obtenido: 10</t>
  </si>
  <si>
    <t>Critical</t>
  </si>
  <si>
    <t>P1</t>
  </si>
  <si>
    <t>Done</t>
  </si>
  <si>
    <t>Flores</t>
  </si>
  <si>
    <t>Web POS – Chrome – Test</t>
  </si>
  <si>
    <t>Inventario;Ventas</t>
  </si>
  <si>
    <t>0.9.0</t>
  </si>
  <si>
    <t>Siempre</t>
  </si>
  <si>
    <t>Lógica</t>
  </si>
  <si>
    <t>/evid/stock/ACK-07_diff.csv</t>
  </si>
  <si>
    <t>HU-INV-001</t>
  </si>
  <si>
    <t>IVA incorrecto con descuento global</t>
  </si>
  <si>
    <t>IVA se calcula sobre neto sin descuento</t>
  </si>
  <si>
    <t>Montenegro</t>
  </si>
  <si>
    <t>Web POS – Edge – Test</t>
  </si>
  <si>
    <t>Ventas;Impuestos</t>
  </si>
  <si>
    <t>/evid/fin/cuadre_caja.xlsx</t>
  </si>
  <si>
    <t>HU-VEN-004</t>
  </si>
  <si>
    <t>Idempotency duplica venta</t>
  </si>
  <si>
    <t>Reintento con misma clave crea 2 ventas</t>
  </si>
  <si>
    <t>Major</t>
  </si>
  <si>
    <t>Montengero</t>
  </si>
  <si>
    <t>API – Staging</t>
  </si>
  <si>
    <t>API;Ventas</t>
  </si>
  <si>
    <t>0.9.2</t>
  </si>
  <si>
    <t>Infra</t>
  </si>
  <si>
    <t>/evid/api/resp_duplicada.json</t>
  </si>
  <si>
    <t>HU-API-002</t>
  </si>
  <si>
    <t>Impresión corta pie de página</t>
  </si>
  <si>
    <t>Ticket 58mm corta total y QR</t>
  </si>
  <si>
    <t>Minor</t>
  </si>
  <si>
    <t>P3</t>
  </si>
  <si>
    <t>Terminal A – Impresora X</t>
  </si>
  <si>
    <t>POS;Impresión</t>
  </si>
  <si>
    <t>1.0.0</t>
  </si>
  <si>
    <t>Intermitente</t>
  </si>
  <si>
    <t>UI/UX</t>
  </si>
  <si>
    <t>/evid/hw/video_impresora.mp4</t>
  </si>
  <si>
    <t>HU-POS-006</t>
  </si>
  <si>
    <t>Sugerencia de precio sin explicación</t>
  </si>
  <si>
    <t>Muestra “precio sugerido” sin justificación</t>
  </si>
  <si>
    <t>P2</t>
  </si>
  <si>
    <t>QA Verify</t>
  </si>
  <si>
    <t>Bernales</t>
  </si>
  <si>
    <t>Backoffice – Chrome</t>
  </si>
  <si>
    <t>IA;Precios</t>
  </si>
  <si>
    <t>/evid/ia/sugerencia_precio.png</t>
  </si>
  <si>
    <t>HU-IA-003</t>
  </si>
  <si>
    <t>Color</t>
  </si>
  <si>
    <t>Qué significa</t>
  </si>
  <si>
    <t>Rojo (vencido)</t>
  </si>
  <si>
    <t>Bug vencido (Overdue)</t>
  </si>
  <si>
    <t>Ámbar (próximo a vencer)</t>
  </si>
  <si>
    <t>SLA por vencer en ≤ 2 días</t>
  </si>
  <si>
    <t>Verde (cerrado)</t>
  </si>
  <si>
    <t>Bug resuelto</t>
  </si>
  <si>
    <t xml:space="preserve">Status </t>
  </si>
  <si>
    <t>RootCause</t>
  </si>
  <si>
    <t>Blocker</t>
  </si>
  <si>
    <t>New</t>
  </si>
  <si>
    <t>Triage</t>
  </si>
  <si>
    <t>Alta</t>
  </si>
  <si>
    <t>Datos</t>
  </si>
  <si>
    <t>In Progress</t>
  </si>
  <si>
    <t>P4</t>
  </si>
  <si>
    <t>Code Review</t>
  </si>
  <si>
    <t>Baja</t>
  </si>
  <si>
    <t>Trivial</t>
  </si>
  <si>
    <t>Una vez</t>
  </si>
  <si>
    <t>Configuración</t>
  </si>
  <si>
    <t>No reproducible</t>
  </si>
  <si>
    <t>Requisito</t>
  </si>
  <si>
    <t>Reopen</t>
  </si>
  <si>
    <t>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</si>
</sst>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b/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1A983"/>
        <bgColor rgb="FFF1A98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4" xfId="0" applyBorder="1" applyFont="1" applyNumberFormat="1"/>
    <xf borderId="1" fillId="0" fontId="1" numFmtId="0" xfId="0" applyBorder="1" applyFont="1"/>
    <xf borderId="1" fillId="0" fontId="1" numFmtId="164" xfId="0" applyBorder="1" applyFont="1" applyNumberForma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3" fontId="1" numFmtId="0" xfId="0" applyBorder="1" applyFill="1" applyFont="1"/>
    <xf borderId="0" fillId="0" fontId="3" numFmtId="0" xfId="0" applyFont="1"/>
    <xf borderId="1" fillId="0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3A7D22"/>
          <bgColor rgb="FF3A7D22"/>
        </patternFill>
      </fill>
      <border/>
    </dxf>
    <dxf>
      <font/>
      <fill>
        <patternFill patternType="solid">
          <fgColor rgb="FF4D94D8"/>
          <bgColor rgb="FF4D94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7.75"/>
    <col customWidth="1" min="3" max="3" width="10.63"/>
    <col customWidth="1" min="4" max="4" width="40.38"/>
    <col customWidth="1" min="5" max="5" width="54.63"/>
    <col customWidth="1" min="6" max="6" width="27.75"/>
    <col customWidth="1" min="7" max="7" width="40.75"/>
    <col customWidth="1" min="8" max="8" width="11.75"/>
    <col customWidth="1" min="9" max="9" width="15.75"/>
    <col customWidth="1" min="10" max="10" width="28.63"/>
    <col customWidth="1" min="11" max="11" width="27.88"/>
    <col customWidth="1" min="12" max="12" width="6.88"/>
    <col customWidth="1" min="13" max="13" width="7.13"/>
    <col customWidth="1" min="14" max="14" width="19.0"/>
    <col customWidth="1" min="15" max="15" width="13.38"/>
    <col customWidth="1" min="16" max="16" width="31.38"/>
    <col customWidth="1" min="17" max="17" width="17.88"/>
    <col customWidth="1" min="18" max="18" width="18.13"/>
    <col customWidth="1" min="19" max="19" width="13.38"/>
    <col customWidth="1" min="20" max="20" width="12.38"/>
    <col customWidth="1" min="21" max="21" width="17.75"/>
    <col customWidth="1" min="22" max="26" width="10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</row>
    <row r="2">
      <c r="A2" s="3" t="str">
        <f t="shared" ref="A2:A6" si="1">"BUG-"&amp;TEXT(ROW()-1,"000")</f>
        <v>BUG-001</v>
      </c>
      <c r="B2" s="4">
        <v>45975.0</v>
      </c>
      <c r="C2" s="5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5" t="s">
        <v>27</v>
      </c>
      <c r="J2" s="3" t="s">
        <v>28</v>
      </c>
      <c r="K2" s="3" t="s">
        <v>29</v>
      </c>
      <c r="L2" s="3" t="s">
        <v>30</v>
      </c>
      <c r="M2" s="3"/>
      <c r="N2" s="3" t="s">
        <v>31</v>
      </c>
      <c r="O2" s="5" t="s">
        <v>32</v>
      </c>
      <c r="P2" s="3" t="s">
        <v>33</v>
      </c>
      <c r="Q2" s="3" t="s">
        <v>34</v>
      </c>
      <c r="R2" s="4">
        <f>IFERROR($B2 + VLOOKUP($G2,SLA_Lookup!$A:$B,2,FALSE),"")</f>
        <v>45976</v>
      </c>
      <c r="S2" s="6">
        <v>45976.0</v>
      </c>
      <c r="T2" s="3">
        <f t="shared" ref="T2:T6" si="2">IF($H2="Done", $S2-$B2, TODAY()-$B2)</f>
        <v>1</v>
      </c>
      <c r="U2" s="3" t="b">
        <f t="shared" ref="U2:U6" si="3">AND($H2&lt;&gt;"Done", ISNUMBER($R2), TODAY()&gt;$R2)</f>
        <v>0</v>
      </c>
    </row>
    <row r="3">
      <c r="A3" s="3" t="str">
        <f t="shared" si="1"/>
        <v>BUG-002</v>
      </c>
      <c r="B3" s="4">
        <v>45975.0</v>
      </c>
      <c r="C3" s="5" t="s">
        <v>21</v>
      </c>
      <c r="D3" s="3" t="s">
        <v>35</v>
      </c>
      <c r="E3" s="3" t="s">
        <v>36</v>
      </c>
      <c r="F3" s="3" t="s">
        <v>24</v>
      </c>
      <c r="G3" s="3" t="s">
        <v>25</v>
      </c>
      <c r="H3" s="3" t="s">
        <v>26</v>
      </c>
      <c r="I3" s="5" t="s">
        <v>37</v>
      </c>
      <c r="J3" s="3" t="s">
        <v>38</v>
      </c>
      <c r="K3" s="3" t="s">
        <v>39</v>
      </c>
      <c r="L3" s="3" t="s">
        <v>30</v>
      </c>
      <c r="M3" s="3"/>
      <c r="N3" s="3" t="s">
        <v>31</v>
      </c>
      <c r="O3" s="3" t="s">
        <v>32</v>
      </c>
      <c r="P3" s="3" t="s">
        <v>40</v>
      </c>
      <c r="Q3" s="3" t="s">
        <v>41</v>
      </c>
      <c r="R3" s="6">
        <f>IFERROR($B2 + VLOOKUP($G2,SLA_Lookup!$A:$B,2,FALSE),"")</f>
        <v>45976</v>
      </c>
      <c r="S3" s="4">
        <v>45976.0</v>
      </c>
      <c r="T3" s="3">
        <f t="shared" si="2"/>
        <v>1</v>
      </c>
      <c r="U3" s="3" t="b">
        <f t="shared" si="3"/>
        <v>0</v>
      </c>
    </row>
    <row r="4">
      <c r="A4" s="3" t="str">
        <f t="shared" si="1"/>
        <v>BUG-003</v>
      </c>
      <c r="B4" s="4">
        <v>45975.0</v>
      </c>
      <c r="C4" s="5" t="s">
        <v>21</v>
      </c>
      <c r="D4" s="3" t="s">
        <v>42</v>
      </c>
      <c r="E4" s="3" t="s">
        <v>43</v>
      </c>
      <c r="F4" s="5" t="s">
        <v>44</v>
      </c>
      <c r="G4" s="3" t="s">
        <v>25</v>
      </c>
      <c r="H4" s="5" t="s">
        <v>26</v>
      </c>
      <c r="I4" s="5" t="s">
        <v>45</v>
      </c>
      <c r="J4" s="3" t="s">
        <v>46</v>
      </c>
      <c r="K4" s="3" t="s">
        <v>47</v>
      </c>
      <c r="L4" s="3" t="s">
        <v>30</v>
      </c>
      <c r="M4" s="3" t="s">
        <v>48</v>
      </c>
      <c r="N4" s="3" t="s">
        <v>31</v>
      </c>
      <c r="O4" s="3" t="s">
        <v>49</v>
      </c>
      <c r="P4" s="3" t="s">
        <v>50</v>
      </c>
      <c r="Q4" s="3" t="s">
        <v>51</v>
      </c>
      <c r="R4" s="4">
        <f>IFERROR($B4 + VLOOKUP($G4,SLA_Lookup!$A:$B,2,FALSE),"")</f>
        <v>45976</v>
      </c>
      <c r="S4" s="6">
        <v>45978.0</v>
      </c>
      <c r="T4" s="3">
        <f t="shared" si="2"/>
        <v>3</v>
      </c>
      <c r="U4" s="3" t="b">
        <f t="shared" si="3"/>
        <v>0</v>
      </c>
    </row>
    <row r="5">
      <c r="A5" s="3" t="str">
        <f t="shared" si="1"/>
        <v>BUG-004</v>
      </c>
      <c r="B5" s="4">
        <v>45975.0</v>
      </c>
      <c r="C5" s="5" t="s">
        <v>21</v>
      </c>
      <c r="D5" s="3" t="s">
        <v>52</v>
      </c>
      <c r="E5" s="3" t="s">
        <v>53</v>
      </c>
      <c r="F5" s="3" t="s">
        <v>54</v>
      </c>
      <c r="G5" s="3" t="s">
        <v>55</v>
      </c>
      <c r="H5" s="3" t="s">
        <v>26</v>
      </c>
      <c r="I5" s="5" t="s">
        <v>27</v>
      </c>
      <c r="J5" s="3" t="s">
        <v>56</v>
      </c>
      <c r="K5" s="3" t="s">
        <v>57</v>
      </c>
      <c r="L5" s="3" t="s">
        <v>30</v>
      </c>
      <c r="M5" s="3" t="s">
        <v>58</v>
      </c>
      <c r="N5" s="3" t="s">
        <v>59</v>
      </c>
      <c r="O5" s="5" t="s">
        <v>60</v>
      </c>
      <c r="P5" s="3" t="s">
        <v>61</v>
      </c>
      <c r="Q5" s="3" t="s">
        <v>62</v>
      </c>
      <c r="R5" s="4">
        <f>IFERROR($B5 + VLOOKUP($G5,SLA_Lookup!$A:$B,2,FALSE),"")</f>
        <v>45982</v>
      </c>
      <c r="S5" s="6">
        <v>45976.0</v>
      </c>
      <c r="T5" s="3">
        <f t="shared" si="2"/>
        <v>1</v>
      </c>
      <c r="U5" s="3" t="b">
        <f t="shared" si="3"/>
        <v>0</v>
      </c>
    </row>
    <row r="6">
      <c r="A6" s="3" t="str">
        <f t="shared" si="1"/>
        <v>BUG-005</v>
      </c>
      <c r="B6" s="4">
        <v>45975.0</v>
      </c>
      <c r="C6" s="5" t="s">
        <v>21</v>
      </c>
      <c r="D6" s="3" t="s">
        <v>63</v>
      </c>
      <c r="E6" s="3" t="s">
        <v>64</v>
      </c>
      <c r="F6" s="3" t="s">
        <v>44</v>
      </c>
      <c r="G6" s="3" t="s">
        <v>65</v>
      </c>
      <c r="H6" s="3" t="s">
        <v>66</v>
      </c>
      <c r="I6" s="5" t="s">
        <v>67</v>
      </c>
      <c r="J6" s="3" t="s">
        <v>68</v>
      </c>
      <c r="K6" s="3" t="s">
        <v>69</v>
      </c>
      <c r="L6" s="3" t="s">
        <v>30</v>
      </c>
      <c r="M6" s="3" t="s">
        <v>58</v>
      </c>
      <c r="N6" s="3" t="s">
        <v>31</v>
      </c>
      <c r="O6" s="5" t="s">
        <v>60</v>
      </c>
      <c r="P6" s="3" t="s">
        <v>70</v>
      </c>
      <c r="Q6" s="3" t="s">
        <v>71</v>
      </c>
      <c r="R6" s="4">
        <f>IFERROR($B6 + VLOOKUP($G6,SLA_Lookup!$A:$B,2,FALSE),"")</f>
        <v>45978</v>
      </c>
      <c r="S6" s="6">
        <v>45978.0</v>
      </c>
      <c r="T6" s="3">
        <f t="shared" si="2"/>
        <v>3</v>
      </c>
      <c r="U6" s="3" t="b">
        <f t="shared" si="3"/>
        <v>0</v>
      </c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J29" s="7" t="s">
        <v>72</v>
      </c>
      <c r="K29" s="7" t="s">
        <v>73</v>
      </c>
    </row>
    <row r="30" ht="15.75" customHeight="1">
      <c r="J30" s="3" t="s">
        <v>74</v>
      </c>
      <c r="K30" s="3" t="s">
        <v>75</v>
      </c>
    </row>
    <row r="31" ht="15.75" customHeight="1">
      <c r="J31" s="3" t="s">
        <v>76</v>
      </c>
      <c r="K31" s="3" t="s">
        <v>77</v>
      </c>
    </row>
    <row r="32" ht="15.75" customHeight="1">
      <c r="J32" s="3" t="s">
        <v>78</v>
      </c>
      <c r="K32" s="3" t="s">
        <v>79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U2:U1000">
    <cfRule type="expression" dxfId="0" priority="1">
      <formula>$U2=TRUE</formula>
    </cfRule>
  </conditionalFormatting>
  <conditionalFormatting sqref="A2:D1000 E2:F15 G2:I1000 J2:K28 L2:N1000 O2:Q28 R2:U1000 E20:F1000 J33:K1000 O33:Q1000">
    <cfRule type="expression" dxfId="1" priority="2">
      <formula>$H2="Done"</formula>
    </cfRule>
  </conditionalFormatting>
  <conditionalFormatting sqref="A2:D1000 E2:F15 G2:I1000 J2:K28 L2:N1000 O2:Q28 R2:U1000 E20:F1000 J33:K1000 O33:Q1000">
    <cfRule type="expression" dxfId="2" priority="3">
      <formula>AND($H2&lt;&gt;"Done", ISNUMBER($R2), $R2-TODAY()&lt;=2, $R2-TODAY()&gt;=0)</formula>
    </cfRule>
  </conditionalFormatting>
  <conditionalFormatting sqref="J29:K32">
    <cfRule type="expression" dxfId="1" priority="4">
      <formula>$H16="Done"</formula>
    </cfRule>
  </conditionalFormatting>
  <conditionalFormatting sqref="J29:K32">
    <cfRule type="expression" dxfId="2" priority="5">
      <formula>AND($H16&lt;&gt;"Done", ISNUMBER($R16), $R16-TODAY()&lt;=2, $R16-TODAY()&gt;=0)</formula>
    </cfRule>
  </conditionalFormatting>
  <dataValidations>
    <dataValidation type="list" allowBlank="1" showErrorMessage="1" sqref="H2:H6">
      <formula1>Dropdowns!$E$2:$E$8</formula1>
    </dataValidation>
    <dataValidation type="list" allowBlank="1" showErrorMessage="1" sqref="F2:F6">
      <formula1>Dropdowns!$A$2:$A$6</formula1>
    </dataValidation>
    <dataValidation type="list" allowBlank="1" showErrorMessage="1" sqref="N2:N6">
      <formula1>Dropdowns!$G$2:$G$7</formula1>
    </dataValidation>
    <dataValidation type="list" allowBlank="1" showErrorMessage="1" sqref="O2:O6">
      <formula1>Dropdowns!$I$2:$I$7</formula1>
    </dataValidation>
    <dataValidation type="list" allowBlank="1" showErrorMessage="1" sqref="G2:G6">
      <formula1>Dropdowns!$C$2:$C$5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63"/>
    <col customWidth="1" min="5" max="5" width="14.13"/>
    <col customWidth="1" min="6" max="6" width="10.63"/>
    <col customWidth="1" min="7" max="7" width="20.0"/>
    <col customWidth="1" min="8" max="26" width="10.63"/>
  </cols>
  <sheetData>
    <row r="1">
      <c r="A1" s="8" t="s">
        <v>5</v>
      </c>
      <c r="C1" s="8" t="s">
        <v>6</v>
      </c>
      <c r="E1" s="8" t="s">
        <v>80</v>
      </c>
      <c r="G1" s="8" t="s">
        <v>13</v>
      </c>
      <c r="I1" s="8" t="s">
        <v>81</v>
      </c>
    </row>
    <row r="2">
      <c r="A2" s="8" t="s">
        <v>82</v>
      </c>
      <c r="C2" s="8" t="s">
        <v>25</v>
      </c>
      <c r="E2" s="8" t="s">
        <v>83</v>
      </c>
      <c r="G2" s="8" t="s">
        <v>31</v>
      </c>
      <c r="I2" s="8" t="s">
        <v>32</v>
      </c>
    </row>
    <row r="3">
      <c r="A3" s="8" t="s">
        <v>24</v>
      </c>
      <c r="C3" s="8" t="s">
        <v>65</v>
      </c>
      <c r="E3" s="8" t="s">
        <v>84</v>
      </c>
      <c r="G3" s="8" t="s">
        <v>85</v>
      </c>
      <c r="I3" s="8" t="s">
        <v>86</v>
      </c>
    </row>
    <row r="4">
      <c r="A4" s="8" t="s">
        <v>44</v>
      </c>
      <c r="C4" s="8" t="s">
        <v>55</v>
      </c>
      <c r="E4" s="8" t="s">
        <v>87</v>
      </c>
      <c r="G4" s="8" t="s">
        <v>59</v>
      </c>
      <c r="I4" s="8" t="s">
        <v>60</v>
      </c>
    </row>
    <row r="5">
      <c r="A5" s="8" t="s">
        <v>54</v>
      </c>
      <c r="C5" s="8" t="s">
        <v>88</v>
      </c>
      <c r="E5" s="8" t="s">
        <v>89</v>
      </c>
      <c r="G5" s="8" t="s">
        <v>90</v>
      </c>
      <c r="I5" s="8" t="s">
        <v>49</v>
      </c>
    </row>
    <row r="6">
      <c r="A6" s="8" t="s">
        <v>91</v>
      </c>
      <c r="E6" s="8" t="s">
        <v>66</v>
      </c>
      <c r="G6" s="8" t="s">
        <v>92</v>
      </c>
      <c r="I6" s="8" t="s">
        <v>93</v>
      </c>
    </row>
    <row r="7">
      <c r="E7" s="8" t="s">
        <v>26</v>
      </c>
      <c r="G7" s="8" t="s">
        <v>94</v>
      </c>
      <c r="I7" s="8" t="s">
        <v>95</v>
      </c>
    </row>
    <row r="8">
      <c r="E8" s="8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9" t="s">
        <v>6</v>
      </c>
      <c r="B1" s="9" t="s">
        <v>97</v>
      </c>
    </row>
    <row r="2">
      <c r="A2" s="10" t="s">
        <v>25</v>
      </c>
      <c r="B2" s="10">
        <v>1.0</v>
      </c>
    </row>
    <row r="3">
      <c r="A3" s="10" t="s">
        <v>65</v>
      </c>
      <c r="B3" s="10">
        <v>3.0</v>
      </c>
    </row>
    <row r="4">
      <c r="A4" s="10" t="s">
        <v>55</v>
      </c>
      <c r="B4" s="10">
        <v>7.0</v>
      </c>
    </row>
    <row r="5">
      <c r="A5" s="10" t="s">
        <v>88</v>
      </c>
      <c r="B5" s="10">
        <v>999.0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2025-11-15T00:36:17Z</dcterms:created>
  <dc:creator>Fernanda Miranda Palma</dc:creator>
</cp:coreProperties>
</file>